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07.12.20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5" i="1" l="1"/>
  <c r="C42" i="1"/>
  <c r="C39" i="1" l="1"/>
  <c r="C38" i="1"/>
  <c r="C37" i="1"/>
  <c r="C36" i="1"/>
  <c r="C32" i="1" l="1"/>
  <c r="C27" i="1"/>
  <c r="C26" i="1"/>
  <c r="C25" i="1"/>
  <c r="C24" i="1"/>
  <c r="C22" i="1"/>
  <c r="C12" i="1"/>
  <c r="C9" i="1" l="1"/>
</calcChain>
</file>

<file path=xl/sharedStrings.xml><?xml version="1.0" encoding="utf-8"?>
<sst xmlns="http://schemas.openxmlformats.org/spreadsheetml/2006/main" count="87" uniqueCount="55">
  <si>
    <t>Date</t>
  </si>
  <si>
    <t xml:space="preserve">Place </t>
  </si>
  <si>
    <t>INEL -II</t>
  </si>
  <si>
    <t>Cell</t>
  </si>
  <si>
    <t>FWM</t>
  </si>
  <si>
    <t>Product Name</t>
  </si>
  <si>
    <t>No of stages - Set up approval used</t>
  </si>
  <si>
    <t>Total</t>
  </si>
  <si>
    <t>YANMAR</t>
  </si>
  <si>
    <t>NOTORQ</t>
  </si>
  <si>
    <t>XLN</t>
  </si>
  <si>
    <t>U162</t>
  </si>
  <si>
    <t>K14/K55</t>
  </si>
  <si>
    <t>Set up approval software input data Preparation</t>
  </si>
  <si>
    <t>LPRR</t>
  </si>
  <si>
    <t>N117</t>
  </si>
  <si>
    <t>U286</t>
  </si>
  <si>
    <t>U341C</t>
  </si>
  <si>
    <t>N251C</t>
  </si>
  <si>
    <t>U286 W/H</t>
  </si>
  <si>
    <t>U411C</t>
  </si>
  <si>
    <t>U377</t>
  </si>
  <si>
    <t>N251C EXPORT RR</t>
  </si>
  <si>
    <t>HPRR</t>
  </si>
  <si>
    <t>K03</t>
  </si>
  <si>
    <t>U69</t>
  </si>
  <si>
    <t>EGR RR</t>
  </si>
  <si>
    <t>YANMAR RR</t>
  </si>
  <si>
    <t>CNG RR</t>
  </si>
  <si>
    <t>CONVERTER</t>
  </si>
  <si>
    <t>IQUBE DC-DC</t>
  </si>
  <si>
    <t>RIVER DC-DC</t>
  </si>
  <si>
    <t>BAJAJ DC-DC</t>
  </si>
  <si>
    <t>IMPROVED DC-DC</t>
  </si>
  <si>
    <t>JD DC-DC</t>
  </si>
  <si>
    <t>CONTROLLER</t>
  </si>
  <si>
    <t>ECU</t>
  </si>
  <si>
    <t>TPS</t>
  </si>
  <si>
    <t>EGR TPS</t>
  </si>
  <si>
    <t>CHINA TPS</t>
  </si>
  <si>
    <t>IU/IG</t>
  </si>
  <si>
    <t>IU</t>
  </si>
  <si>
    <t>GENERAC</t>
  </si>
  <si>
    <t>DELLORTO</t>
  </si>
  <si>
    <t>MAHINDRA</t>
  </si>
  <si>
    <t>ZIU</t>
  </si>
  <si>
    <t>Potting</t>
  </si>
  <si>
    <t>Epoxy</t>
  </si>
  <si>
    <t>PU</t>
  </si>
  <si>
    <t>N101</t>
  </si>
  <si>
    <t>AHO</t>
  </si>
  <si>
    <t>10.12.2024</t>
  </si>
  <si>
    <t>Stranger</t>
  </si>
  <si>
    <t>SMT - Backend</t>
  </si>
  <si>
    <t>Total SUV calculated - 324+70 = 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</si>
</sst>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/>
    <xf numFmtId="0" fontId="0" fillId="0" borderId="0" xfId="0" applyFont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1" fillId="2" borderId="12" xfId="0" applyFont="1" applyFill="1" applyBorder="1"/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8" xfId="0" applyFont="1" applyFill="1" applyBorder="1" applyAlignment="1">
      <alignment horizontal="center" vertical="center"/>
    </xf>
    <xf numFmtId="0" fontId="0" fillId="0" borderId="25" xfId="0" applyFont="1" applyBorder="1"/>
    <xf numFmtId="0" fontId="0" fillId="0" borderId="0" xfId="0" applyFont="1" applyBorder="1"/>
    <xf numFmtId="0" fontId="0" fillId="0" borderId="26" xfId="0" applyFont="1" applyBorder="1"/>
    <xf numFmtId="0" fontId="1" fillId="2" borderId="2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zoomScaleNormal="100" workbookViewId="0">
      <selection activeCell="I12" sqref="I12"/>
    </sheetView>
  </sheetViews>
  <sheetFormatPr defaultRowHeight="15" x14ac:dyDescent="0.25"/>
  <cols>
    <col min="1" max="1" width="15" style="5" customWidth="1"/>
    <col min="2" max="2" width="22.7109375" style="5" customWidth="1"/>
    <col min="3" max="3" width="14.85546875" style="5" customWidth="1"/>
    <col min="4" max="4" width="9.140625" style="5"/>
    <col min="5" max="5" width="18.85546875" style="5" customWidth="1"/>
    <col min="6" max="16384" width="9.140625" style="5"/>
  </cols>
  <sheetData>
    <row r="1" spans="1:5" x14ac:dyDescent="0.25">
      <c r="A1" s="1" t="s">
        <v>13</v>
      </c>
      <c r="B1" s="2"/>
      <c r="C1" s="2"/>
      <c r="D1" s="3" t="s">
        <v>0</v>
      </c>
      <c r="E1" s="4" t="s">
        <v>51</v>
      </c>
    </row>
    <row r="2" spans="1:5" ht="15.75" thickBot="1" x14ac:dyDescent="0.3">
      <c r="A2" s="6"/>
      <c r="B2" s="7"/>
      <c r="C2" s="7"/>
      <c r="D2" s="8" t="s">
        <v>1</v>
      </c>
      <c r="E2" s="9" t="s">
        <v>2</v>
      </c>
    </row>
    <row r="3" spans="1:5" ht="15.75" thickBot="1" x14ac:dyDescent="0.3">
      <c r="A3" s="10" t="s">
        <v>3</v>
      </c>
      <c r="B3" s="11" t="s">
        <v>5</v>
      </c>
      <c r="C3" s="12" t="s">
        <v>6</v>
      </c>
      <c r="D3" s="12"/>
      <c r="E3" s="13"/>
    </row>
    <row r="4" spans="1:5" x14ac:dyDescent="0.25">
      <c r="A4" s="14" t="s">
        <v>4</v>
      </c>
      <c r="B4" s="15" t="s">
        <v>9</v>
      </c>
      <c r="C4" s="16">
        <v>25</v>
      </c>
      <c r="D4" s="16"/>
      <c r="E4" s="17"/>
    </row>
    <row r="5" spans="1:5" x14ac:dyDescent="0.25">
      <c r="A5" s="18" t="s">
        <v>4</v>
      </c>
      <c r="B5" s="19" t="s">
        <v>8</v>
      </c>
      <c r="C5" s="20">
        <v>17</v>
      </c>
      <c r="D5" s="20"/>
      <c r="E5" s="21"/>
    </row>
    <row r="6" spans="1:5" x14ac:dyDescent="0.25">
      <c r="A6" s="18" t="s">
        <v>4</v>
      </c>
      <c r="B6" s="19" t="s">
        <v>10</v>
      </c>
      <c r="C6" s="20">
        <v>11</v>
      </c>
      <c r="D6" s="20"/>
      <c r="E6" s="21"/>
    </row>
    <row r="7" spans="1:5" x14ac:dyDescent="0.25">
      <c r="A7" s="18" t="s">
        <v>4</v>
      </c>
      <c r="B7" s="19" t="s">
        <v>11</v>
      </c>
      <c r="C7" s="20">
        <v>8</v>
      </c>
      <c r="D7" s="20"/>
      <c r="E7" s="21"/>
    </row>
    <row r="8" spans="1:5" ht="15.75" thickBot="1" x14ac:dyDescent="0.3">
      <c r="A8" s="18" t="s">
        <v>4</v>
      </c>
      <c r="B8" s="19" t="s">
        <v>12</v>
      </c>
      <c r="C8" s="20">
        <v>9</v>
      </c>
      <c r="D8" s="20"/>
      <c r="E8" s="21"/>
    </row>
    <row r="9" spans="1:5" ht="15.75" thickBot="1" x14ac:dyDescent="0.3">
      <c r="A9" s="22" t="s">
        <v>7</v>
      </c>
      <c r="B9" s="23"/>
      <c r="C9" s="24">
        <f>SUM(C4:E8)</f>
        <v>70</v>
      </c>
      <c r="D9" s="24"/>
      <c r="E9" s="25"/>
    </row>
    <row r="10" spans="1:5" ht="15.75" thickBot="1" x14ac:dyDescent="0.3">
      <c r="A10" s="26"/>
      <c r="B10" s="27"/>
      <c r="C10" s="27"/>
      <c r="D10" s="27"/>
      <c r="E10" s="28"/>
    </row>
    <row r="11" spans="1:5" ht="15.75" thickBot="1" x14ac:dyDescent="0.3">
      <c r="A11" s="29" t="s">
        <v>3</v>
      </c>
      <c r="B11" s="30" t="s">
        <v>5</v>
      </c>
      <c r="C11" s="31" t="s">
        <v>6</v>
      </c>
      <c r="D11" s="31"/>
      <c r="E11" s="32"/>
    </row>
    <row r="12" spans="1:5" x14ac:dyDescent="0.25">
      <c r="A12" s="14" t="s">
        <v>14</v>
      </c>
      <c r="B12" s="15" t="s">
        <v>15</v>
      </c>
      <c r="C12" s="16">
        <f>1+1+1+1+1</f>
        <v>5</v>
      </c>
      <c r="D12" s="16"/>
      <c r="E12" s="17"/>
    </row>
    <row r="13" spans="1:5" x14ac:dyDescent="0.25">
      <c r="A13" s="14" t="s">
        <v>14</v>
      </c>
      <c r="B13" s="15" t="s">
        <v>49</v>
      </c>
      <c r="C13" s="33">
        <v>5</v>
      </c>
      <c r="D13" s="34"/>
      <c r="E13" s="35"/>
    </row>
    <row r="14" spans="1:5" x14ac:dyDescent="0.25">
      <c r="A14" s="14" t="s">
        <v>14</v>
      </c>
      <c r="B14" s="15" t="s">
        <v>50</v>
      </c>
      <c r="C14" s="33">
        <v>5</v>
      </c>
      <c r="D14" s="34"/>
      <c r="E14" s="35"/>
    </row>
    <row r="15" spans="1:5" x14ac:dyDescent="0.25">
      <c r="A15" s="14" t="s">
        <v>14</v>
      </c>
      <c r="B15" s="19" t="s">
        <v>16</v>
      </c>
      <c r="C15" s="20">
        <v>8</v>
      </c>
      <c r="D15" s="20"/>
      <c r="E15" s="21"/>
    </row>
    <row r="16" spans="1:5" x14ac:dyDescent="0.25">
      <c r="A16" s="18" t="s">
        <v>14</v>
      </c>
      <c r="B16" s="19" t="s">
        <v>17</v>
      </c>
      <c r="C16" s="20">
        <v>9</v>
      </c>
      <c r="D16" s="20"/>
      <c r="E16" s="21"/>
    </row>
    <row r="17" spans="1:5" x14ac:dyDescent="0.25">
      <c r="A17" s="18" t="s">
        <v>14</v>
      </c>
      <c r="B17" s="19" t="s">
        <v>18</v>
      </c>
      <c r="C17" s="20">
        <v>8</v>
      </c>
      <c r="D17" s="20"/>
      <c r="E17" s="21"/>
    </row>
    <row r="18" spans="1:5" x14ac:dyDescent="0.25">
      <c r="A18" s="18" t="s">
        <v>14</v>
      </c>
      <c r="B18" s="19" t="s">
        <v>19</v>
      </c>
      <c r="C18" s="20">
        <v>8</v>
      </c>
      <c r="D18" s="20"/>
      <c r="E18" s="21"/>
    </row>
    <row r="19" spans="1:5" x14ac:dyDescent="0.25">
      <c r="A19" s="18" t="s">
        <v>14</v>
      </c>
      <c r="B19" s="36" t="s">
        <v>20</v>
      </c>
      <c r="C19" s="37">
        <v>9</v>
      </c>
      <c r="D19" s="37"/>
      <c r="E19" s="38"/>
    </row>
    <row r="20" spans="1:5" x14ac:dyDescent="0.25">
      <c r="A20" s="18" t="s">
        <v>14</v>
      </c>
      <c r="B20" s="36" t="s">
        <v>21</v>
      </c>
      <c r="C20" s="37">
        <v>8</v>
      </c>
      <c r="D20" s="37"/>
      <c r="E20" s="38"/>
    </row>
    <row r="21" spans="1:5" x14ac:dyDescent="0.25">
      <c r="A21" s="18" t="s">
        <v>14</v>
      </c>
      <c r="B21" s="36" t="s">
        <v>22</v>
      </c>
      <c r="C21" s="37">
        <v>5</v>
      </c>
      <c r="D21" s="37"/>
      <c r="E21" s="38"/>
    </row>
    <row r="22" spans="1:5" x14ac:dyDescent="0.25">
      <c r="A22" s="39" t="s">
        <v>23</v>
      </c>
      <c r="B22" s="36" t="s">
        <v>24</v>
      </c>
      <c r="C22" s="37">
        <f>1+1+1+1+1+1+1</f>
        <v>7</v>
      </c>
      <c r="D22" s="37"/>
      <c r="E22" s="38"/>
    </row>
    <row r="23" spans="1:5" x14ac:dyDescent="0.25">
      <c r="A23" s="39" t="s">
        <v>23</v>
      </c>
      <c r="B23" s="36" t="s">
        <v>25</v>
      </c>
      <c r="C23" s="37">
        <v>7</v>
      </c>
      <c r="D23" s="37"/>
      <c r="E23" s="38"/>
    </row>
    <row r="24" spans="1:5" x14ac:dyDescent="0.25">
      <c r="A24" s="39" t="s">
        <v>23</v>
      </c>
      <c r="B24" s="36" t="s">
        <v>26</v>
      </c>
      <c r="C24" s="37">
        <f>1+1+1+1+1+1+1+1+1</f>
        <v>9</v>
      </c>
      <c r="D24" s="37"/>
      <c r="E24" s="38"/>
    </row>
    <row r="25" spans="1:5" x14ac:dyDescent="0.25">
      <c r="A25" s="39" t="s">
        <v>23</v>
      </c>
      <c r="B25" s="36" t="s">
        <v>27</v>
      </c>
      <c r="C25" s="37">
        <f>1+1+1+1+1+1</f>
        <v>6</v>
      </c>
      <c r="D25" s="37"/>
      <c r="E25" s="38"/>
    </row>
    <row r="26" spans="1:5" x14ac:dyDescent="0.25">
      <c r="A26" s="39" t="s">
        <v>23</v>
      </c>
      <c r="B26" s="36" t="s">
        <v>28</v>
      </c>
      <c r="C26" s="37">
        <f>1+1+1+1+1+1+1</f>
        <v>7</v>
      </c>
      <c r="D26" s="37"/>
      <c r="E26" s="38"/>
    </row>
    <row r="27" spans="1:5" x14ac:dyDescent="0.25">
      <c r="A27" s="39" t="s">
        <v>29</v>
      </c>
      <c r="B27" s="36" t="s">
        <v>30</v>
      </c>
      <c r="C27" s="37">
        <f>1+1+1+1+1+1+1+1+1+1</f>
        <v>10</v>
      </c>
      <c r="D27" s="37"/>
      <c r="E27" s="38"/>
    </row>
    <row r="28" spans="1:5" x14ac:dyDescent="0.25">
      <c r="A28" s="39" t="s">
        <v>29</v>
      </c>
      <c r="B28" s="36" t="s">
        <v>31</v>
      </c>
      <c r="C28" s="37">
        <v>10</v>
      </c>
      <c r="D28" s="37"/>
      <c r="E28" s="38"/>
    </row>
    <row r="29" spans="1:5" x14ac:dyDescent="0.25">
      <c r="A29" s="39" t="s">
        <v>29</v>
      </c>
      <c r="B29" s="36" t="s">
        <v>32</v>
      </c>
      <c r="C29" s="37">
        <v>10</v>
      </c>
      <c r="D29" s="37"/>
      <c r="E29" s="38"/>
    </row>
    <row r="30" spans="1:5" x14ac:dyDescent="0.25">
      <c r="A30" s="39" t="s">
        <v>29</v>
      </c>
      <c r="B30" s="36" t="s">
        <v>33</v>
      </c>
      <c r="C30" s="37">
        <v>10</v>
      </c>
      <c r="D30" s="37"/>
      <c r="E30" s="38"/>
    </row>
    <row r="31" spans="1:5" x14ac:dyDescent="0.25">
      <c r="A31" s="39" t="s">
        <v>29</v>
      </c>
      <c r="B31" s="36" t="s">
        <v>34</v>
      </c>
      <c r="C31" s="37">
        <v>10</v>
      </c>
      <c r="D31" s="37"/>
      <c r="E31" s="38"/>
    </row>
    <row r="32" spans="1:5" x14ac:dyDescent="0.25">
      <c r="A32" s="39" t="s">
        <v>35</v>
      </c>
      <c r="B32" s="36" t="s">
        <v>36</v>
      </c>
      <c r="C32" s="37">
        <f>1+1+1+1+1+1</f>
        <v>6</v>
      </c>
      <c r="D32" s="37"/>
      <c r="E32" s="38"/>
    </row>
    <row r="33" spans="1:5" x14ac:dyDescent="0.25">
      <c r="A33" s="39" t="s">
        <v>37</v>
      </c>
      <c r="B33" s="36" t="s">
        <v>38</v>
      </c>
      <c r="C33" s="37">
        <v>6</v>
      </c>
      <c r="D33" s="37"/>
      <c r="E33" s="38"/>
    </row>
    <row r="34" spans="1:5" x14ac:dyDescent="0.25">
      <c r="A34" s="39" t="s">
        <v>37</v>
      </c>
      <c r="B34" s="36" t="s">
        <v>39</v>
      </c>
      <c r="C34" s="37">
        <v>5</v>
      </c>
      <c r="D34" s="37"/>
      <c r="E34" s="38"/>
    </row>
    <row r="35" spans="1:5" x14ac:dyDescent="0.25">
      <c r="A35" s="39" t="s">
        <v>40</v>
      </c>
      <c r="B35" s="36" t="s">
        <v>41</v>
      </c>
      <c r="C35" s="37">
        <v>25</v>
      </c>
      <c r="D35" s="37"/>
      <c r="E35" s="38"/>
    </row>
    <row r="36" spans="1:5" x14ac:dyDescent="0.25">
      <c r="A36" s="39" t="s">
        <v>40</v>
      </c>
      <c r="B36" s="36" t="s">
        <v>42</v>
      </c>
      <c r="C36" s="37">
        <f>1+1+1+1+1+1+1+1+1+1+1+1+1+1</f>
        <v>14</v>
      </c>
      <c r="D36" s="37"/>
      <c r="E36" s="38"/>
    </row>
    <row r="37" spans="1:5" x14ac:dyDescent="0.25">
      <c r="A37" s="39" t="s">
        <v>40</v>
      </c>
      <c r="B37" s="36" t="s">
        <v>43</v>
      </c>
      <c r="C37" s="37">
        <f>1+1+1+1+1+1+1+1+1+1+1+1+1+1</f>
        <v>14</v>
      </c>
      <c r="D37" s="37"/>
      <c r="E37" s="38"/>
    </row>
    <row r="38" spans="1:5" x14ac:dyDescent="0.25">
      <c r="A38" s="39" t="s">
        <v>40</v>
      </c>
      <c r="B38" s="36" t="s">
        <v>44</v>
      </c>
      <c r="C38" s="37">
        <f>1+1+1+1+1+1+1+1+1+1+1+1+1+1</f>
        <v>14</v>
      </c>
      <c r="D38" s="37"/>
      <c r="E38" s="38"/>
    </row>
    <row r="39" spans="1:5" x14ac:dyDescent="0.25">
      <c r="A39" s="39" t="s">
        <v>40</v>
      </c>
      <c r="B39" s="36" t="s">
        <v>45</v>
      </c>
      <c r="C39" s="37">
        <f>1+1+1+1+1+1+1+1+1+1+1+1+1+1+1+1+1+1</f>
        <v>18</v>
      </c>
      <c r="D39" s="37"/>
      <c r="E39" s="38"/>
    </row>
    <row r="40" spans="1:5" x14ac:dyDescent="0.25">
      <c r="A40" s="39" t="s">
        <v>46</v>
      </c>
      <c r="B40" s="36" t="s">
        <v>47</v>
      </c>
      <c r="C40" s="37">
        <v>6</v>
      </c>
      <c r="D40" s="37"/>
      <c r="E40" s="38"/>
    </row>
    <row r="41" spans="1:5" x14ac:dyDescent="0.25">
      <c r="A41" s="39" t="s">
        <v>46</v>
      </c>
      <c r="B41" s="36" t="s">
        <v>48</v>
      </c>
      <c r="C41" s="37">
        <v>6</v>
      </c>
      <c r="D41" s="37"/>
      <c r="E41" s="38"/>
    </row>
    <row r="42" spans="1:5" x14ac:dyDescent="0.25">
      <c r="A42" s="39" t="s">
        <v>46</v>
      </c>
      <c r="B42" s="36" t="s">
        <v>40</v>
      </c>
      <c r="C42" s="37">
        <f>1+1+1+1</f>
        <v>4</v>
      </c>
      <c r="D42" s="37"/>
      <c r="E42" s="38"/>
    </row>
    <row r="43" spans="1:5" x14ac:dyDescent="0.25">
      <c r="A43" s="39"/>
      <c r="B43" s="36"/>
      <c r="C43" s="37"/>
      <c r="D43" s="37"/>
      <c r="E43" s="38"/>
    </row>
    <row r="44" spans="1:5" x14ac:dyDescent="0.25">
      <c r="A44" s="46" t="s">
        <v>52</v>
      </c>
      <c r="B44" s="47"/>
      <c r="C44" s="48">
        <v>50</v>
      </c>
      <c r="D44" s="48"/>
      <c r="E44" s="49"/>
    </row>
    <row r="45" spans="1:5" ht="15.75" thickBot="1" x14ac:dyDescent="0.3">
      <c r="A45" s="50" t="s">
        <v>53</v>
      </c>
      <c r="B45" s="51"/>
      <c r="C45" s="51">
        <f>SUM(C12:E44)</f>
        <v>324</v>
      </c>
      <c r="D45" s="51"/>
      <c r="E45" s="52"/>
    </row>
    <row r="46" spans="1:5" ht="15.75" thickBot="1" x14ac:dyDescent="0.3">
      <c r="A46" s="40"/>
      <c r="B46" s="41"/>
      <c r="C46" s="41"/>
      <c r="D46" s="41"/>
      <c r="E46" s="42"/>
    </row>
    <row r="47" spans="1:5" ht="15.75" thickBot="1" x14ac:dyDescent="0.3">
      <c r="A47" s="43" t="s">
        <v>54</v>
      </c>
      <c r="B47" s="44"/>
      <c r="C47" s="44"/>
      <c r="D47" s="44"/>
      <c r="E47" s="45"/>
    </row>
  </sheetData>
  <mergeCells count="47">
    <mergeCell ref="C44:E44"/>
    <mergeCell ref="C42:E42"/>
    <mergeCell ref="A10:E10"/>
    <mergeCell ref="A47:E47"/>
    <mergeCell ref="C41:E41"/>
    <mergeCell ref="C11:E11"/>
    <mergeCell ref="C12:E12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7:E7"/>
    <mergeCell ref="C8:E8"/>
    <mergeCell ref="A9:B9"/>
    <mergeCell ref="C9:E9"/>
    <mergeCell ref="C40:E40"/>
    <mergeCell ref="A1:C2"/>
    <mergeCell ref="C3:E3"/>
    <mergeCell ref="C4:E4"/>
    <mergeCell ref="C5:E5"/>
    <mergeCell ref="C6:E6"/>
    <mergeCell ref="C24:E24"/>
    <mergeCell ref="C25:E25"/>
    <mergeCell ref="C26:E26"/>
    <mergeCell ref="C27:E27"/>
    <mergeCell ref="C28:E28"/>
    <mergeCell ref="C43:E43"/>
    <mergeCell ref="A45:B45"/>
    <mergeCell ref="C45:E45"/>
    <mergeCell ref="C13:E13"/>
    <mergeCell ref="C14:E14"/>
    <mergeCell ref="C39:E39"/>
    <mergeCell ref="C33:E33"/>
    <mergeCell ref="C34:E34"/>
    <mergeCell ref="C35:E35"/>
    <mergeCell ref="C36:E36"/>
    <mergeCell ref="C37:E37"/>
    <mergeCell ref="C29:E29"/>
    <mergeCell ref="C30:E30"/>
    <mergeCell ref="C31:E31"/>
    <mergeCell ref="C32:E32"/>
    <mergeCell ref="C38:E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07.12.2024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2024-12-10T05:18:09Z</dcterms:modified>
</cp:coreProperties>
</file>